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성균관대학교\4학년 1학기\융합형 urp\"/>
    </mc:Choice>
  </mc:AlternateContent>
  <xr:revisionPtr revIDLastSave="0" documentId="8_{8953A964-2E8C-41D9-AFEB-3667455CFC4B}" xr6:coauthVersionLast="47" xr6:coauthVersionMax="47" xr10:uidLastSave="{00000000-0000-0000-0000-000000000000}"/>
  <bookViews>
    <workbookView xWindow="-108" yWindow="-108" windowWidth="23256" windowHeight="12576" xr2:uid="{76F65CA8-5A9E-4DEF-B4A2-2DF12935C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H5" i="1" s="1"/>
  <c r="F6" i="1"/>
  <c r="H6" i="1" s="1"/>
  <c r="F7" i="1"/>
  <c r="H7" i="1" s="1"/>
  <c r="F8" i="1"/>
  <c r="H8" i="1" s="1"/>
  <c r="F4" i="1"/>
  <c r="H4" i="1" s="1"/>
  <c r="F3" i="1"/>
  <c r="H3" i="1" s="1"/>
  <c r="F2" i="1"/>
  <c r="J2" i="1" s="1"/>
  <c r="I8" i="1" l="1"/>
  <c r="J7" i="1"/>
  <c r="I7" i="1"/>
  <c r="J6" i="1"/>
  <c r="I6" i="1"/>
  <c r="J8" i="1"/>
  <c r="K8" i="1" s="1"/>
  <c r="H2" i="1"/>
  <c r="I2" i="1"/>
  <c r="J3" i="1"/>
  <c r="I3" i="1"/>
  <c r="J5" i="1"/>
  <c r="I5" i="1"/>
  <c r="J4" i="1"/>
  <c r="I4" i="1"/>
  <c r="K7" i="1" l="1"/>
  <c r="K6" i="1"/>
  <c r="K4" i="1"/>
  <c r="K3" i="1"/>
  <c r="K5" i="1"/>
  <c r="K2" i="1"/>
</calcChain>
</file>

<file path=xl/sharedStrings.xml><?xml version="1.0" encoding="utf-8"?>
<sst xmlns="http://schemas.openxmlformats.org/spreadsheetml/2006/main" count="14" uniqueCount="14">
  <si>
    <t>실험군</t>
    <phoneticPr fontId="1" type="noConversion"/>
  </si>
  <si>
    <t>10^0 colony 개수 (50 ul)</t>
    <phoneticPr fontId="1" type="noConversion"/>
  </si>
  <si>
    <t>drop volume (ul)</t>
    <phoneticPr fontId="1" type="noConversion"/>
  </si>
  <si>
    <t>ml 환산</t>
    <phoneticPr fontId="1" type="noConversion"/>
  </si>
  <si>
    <t>희석배수(10의 제곱수)</t>
    <phoneticPr fontId="1" type="noConversion"/>
  </si>
  <si>
    <t>CFU(CFU/ ml)</t>
    <phoneticPr fontId="1" type="noConversion"/>
  </si>
  <si>
    <t>평균</t>
    <phoneticPr fontId="1" type="noConversion"/>
  </si>
  <si>
    <t>Bfr</t>
    <phoneticPr fontId="1" type="noConversion"/>
  </si>
  <si>
    <t>T5(KWK) 0.125uM</t>
    <phoneticPr fontId="1" type="noConversion"/>
  </si>
  <si>
    <t>T5(KWK) 0.25uM</t>
    <phoneticPr fontId="1" type="noConversion"/>
  </si>
  <si>
    <t>T5(KWK) 0.5uM</t>
    <phoneticPr fontId="1" type="noConversion"/>
  </si>
  <si>
    <t>T5(KWK)-cys 0.125uM</t>
    <phoneticPr fontId="1" type="noConversion"/>
  </si>
  <si>
    <t>T5(KWK)-cys 0.25uM</t>
    <phoneticPr fontId="1" type="noConversion"/>
  </si>
  <si>
    <t>T5(KWK)-cys 0.5uM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</si>
</sst>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5C44-449D-454D-8DF9-0EA0B5F186BF}">
  <dimension ref="A1:K8"/>
  <sheetViews>
    <sheetView tabSelected="1" zoomScale="116" workbookViewId="0">
      <selection activeCell="K8" sqref="K8"/>
    </sheetView>
  </sheetViews>
  <sheetFormatPr defaultRowHeight="17.399999999999999" x14ac:dyDescent="0.4"/>
  <cols>
    <col min="1" max="1" width="20" customWidth="1"/>
    <col min="5" max="5" width="15.296875" bestFit="1" customWidth="1"/>
    <col min="7" max="7" width="20.19921875" bestFit="1" customWidth="1"/>
    <col min="11" max="11" width="12" bestFit="1" customWidth="1"/>
    <col min="12" max="12" width="19.59765625" customWidth="1"/>
  </cols>
  <sheetData>
    <row r="1" spans="1:11" ht="18" thickBot="1" x14ac:dyDescent="0.45">
      <c r="A1" s="5" t="s">
        <v>0</v>
      </c>
      <c r="B1" s="7" t="s">
        <v>1</v>
      </c>
      <c r="C1" s="7"/>
      <c r="D1" s="7"/>
      <c r="E1" s="6" t="s">
        <v>2</v>
      </c>
      <c r="F1" s="6" t="s">
        <v>3</v>
      </c>
      <c r="G1" s="6" t="s">
        <v>4</v>
      </c>
      <c r="H1" s="8" t="s">
        <v>5</v>
      </c>
      <c r="I1" s="8"/>
      <c r="J1" s="8"/>
      <c r="K1" s="6" t="s">
        <v>6</v>
      </c>
    </row>
    <row r="2" spans="1:11" ht="18" thickTop="1" x14ac:dyDescent="0.4">
      <c r="A2" s="3" t="s">
        <v>7</v>
      </c>
      <c r="B2" s="1">
        <v>13</v>
      </c>
      <c r="C2" s="1">
        <v>12</v>
      </c>
      <c r="D2" s="3">
        <v>8</v>
      </c>
      <c r="E2" s="3">
        <v>50</v>
      </c>
      <c r="F2" s="3">
        <f t="shared" ref="F2:F4" si="0">E2/1000</f>
        <v>0.05</v>
      </c>
      <c r="G2" s="3">
        <v>3</v>
      </c>
      <c r="H2" s="3">
        <f>B2/$F2*(10^$G2)</f>
        <v>260000</v>
      </c>
      <c r="I2" s="3">
        <f t="shared" ref="I2:J2" si="1">C2/$F2*(10^$G2)</f>
        <v>240000</v>
      </c>
      <c r="J2" s="3">
        <f t="shared" si="1"/>
        <v>160000</v>
      </c>
      <c r="K2" s="4">
        <f>AVERAGE(H2:J2)</f>
        <v>220000</v>
      </c>
    </row>
    <row r="3" spans="1:11" x14ac:dyDescent="0.4">
      <c r="A3" s="1" t="s">
        <v>8</v>
      </c>
      <c r="B3" s="1">
        <v>15</v>
      </c>
      <c r="C3" s="1">
        <v>13</v>
      </c>
      <c r="D3" s="1">
        <v>26</v>
      </c>
      <c r="E3" s="1">
        <v>50</v>
      </c>
      <c r="F3" s="1">
        <f t="shared" si="0"/>
        <v>0.05</v>
      </c>
      <c r="G3" s="1">
        <v>1</v>
      </c>
      <c r="H3" s="1">
        <f t="shared" ref="H3:H8" si="2">B3/$F3*(10^$G3)</f>
        <v>3000</v>
      </c>
      <c r="I3" s="1">
        <f t="shared" ref="I3:I8" si="3">C3/$F3*(10^$G3)</f>
        <v>2600</v>
      </c>
      <c r="J3" s="1">
        <f t="shared" ref="J3:J8" si="4">D3/$F3*(10^$G3)</f>
        <v>5200</v>
      </c>
      <c r="K3" s="2">
        <f t="shared" ref="K3:K8" si="5">AVERAGE(H3:J3)</f>
        <v>3600</v>
      </c>
    </row>
    <row r="4" spans="1:11" x14ac:dyDescent="0.4">
      <c r="A4" s="1" t="s">
        <v>9</v>
      </c>
      <c r="B4" s="1">
        <v>14</v>
      </c>
      <c r="C4" s="1">
        <v>19</v>
      </c>
      <c r="D4" s="1">
        <v>17</v>
      </c>
      <c r="E4" s="1">
        <v>50</v>
      </c>
      <c r="F4" s="1">
        <f t="shared" si="0"/>
        <v>0.05</v>
      </c>
      <c r="G4" s="1">
        <v>3</v>
      </c>
      <c r="H4" s="1">
        <f t="shared" si="2"/>
        <v>280000</v>
      </c>
      <c r="I4" s="1">
        <f t="shared" si="3"/>
        <v>380000</v>
      </c>
      <c r="J4" s="1">
        <f t="shared" si="4"/>
        <v>340000</v>
      </c>
      <c r="K4" s="2">
        <f t="shared" si="5"/>
        <v>333333.33333333331</v>
      </c>
    </row>
    <row r="5" spans="1:11" x14ac:dyDescent="0.4">
      <c r="A5" s="1" t="s">
        <v>10</v>
      </c>
      <c r="B5" s="1">
        <v>13</v>
      </c>
      <c r="C5" s="1">
        <v>12</v>
      </c>
      <c r="D5" s="1">
        <v>16</v>
      </c>
      <c r="E5" s="1">
        <v>50</v>
      </c>
      <c r="F5" s="1">
        <f t="shared" ref="F5:F8" si="6">E5/1000</f>
        <v>0.05</v>
      </c>
      <c r="G5" s="1">
        <v>3</v>
      </c>
      <c r="H5" s="1">
        <f t="shared" si="2"/>
        <v>260000</v>
      </c>
      <c r="I5" s="1">
        <f t="shared" si="3"/>
        <v>240000</v>
      </c>
      <c r="J5" s="1">
        <f t="shared" si="4"/>
        <v>320000</v>
      </c>
      <c r="K5" s="2">
        <f t="shared" si="5"/>
        <v>273333.33333333331</v>
      </c>
    </row>
    <row r="6" spans="1:11" x14ac:dyDescent="0.4">
      <c r="A6" s="1" t="s">
        <v>11</v>
      </c>
      <c r="B6" s="1">
        <v>0</v>
      </c>
      <c r="C6" s="1">
        <v>2</v>
      </c>
      <c r="D6" s="1">
        <v>5</v>
      </c>
      <c r="E6" s="1">
        <v>50</v>
      </c>
      <c r="F6" s="1">
        <f t="shared" si="6"/>
        <v>0.05</v>
      </c>
      <c r="G6" s="1">
        <v>2</v>
      </c>
      <c r="H6" s="1">
        <f t="shared" si="2"/>
        <v>0</v>
      </c>
      <c r="I6" s="1">
        <f t="shared" si="3"/>
        <v>4000</v>
      </c>
      <c r="J6" s="1">
        <f t="shared" si="4"/>
        <v>10000</v>
      </c>
      <c r="K6" s="2">
        <f t="shared" si="5"/>
        <v>4666.666666666667</v>
      </c>
    </row>
    <row r="7" spans="1:11" x14ac:dyDescent="0.4">
      <c r="A7" s="1" t="s">
        <v>12</v>
      </c>
      <c r="B7" s="1">
        <v>4</v>
      </c>
      <c r="C7" s="1">
        <v>3</v>
      </c>
      <c r="D7" s="1">
        <v>9</v>
      </c>
      <c r="E7" s="1">
        <v>50</v>
      </c>
      <c r="F7" s="1">
        <f t="shared" si="6"/>
        <v>0.05</v>
      </c>
      <c r="G7" s="1">
        <v>3</v>
      </c>
      <c r="H7" s="1">
        <f t="shared" si="2"/>
        <v>80000</v>
      </c>
      <c r="I7" s="1">
        <f t="shared" si="3"/>
        <v>60000</v>
      </c>
      <c r="J7" s="1">
        <f t="shared" si="4"/>
        <v>180000</v>
      </c>
      <c r="K7" s="2">
        <f t="shared" si="5"/>
        <v>106666.66666666667</v>
      </c>
    </row>
    <row r="8" spans="1:11" x14ac:dyDescent="0.4">
      <c r="A8" s="1" t="s">
        <v>13</v>
      </c>
      <c r="B8" s="1">
        <v>7</v>
      </c>
      <c r="C8" s="1">
        <v>10</v>
      </c>
      <c r="D8" s="1">
        <v>13</v>
      </c>
      <c r="E8" s="1">
        <v>50</v>
      </c>
      <c r="F8" s="1">
        <f t="shared" si="6"/>
        <v>0.05</v>
      </c>
      <c r="G8" s="1">
        <v>3</v>
      </c>
      <c r="H8" s="1">
        <f t="shared" si="2"/>
        <v>140000</v>
      </c>
      <c r="I8" s="1">
        <f t="shared" si="3"/>
        <v>200000</v>
      </c>
      <c r="J8" s="1">
        <f t="shared" si="4"/>
        <v>260000</v>
      </c>
      <c r="K8" s="2">
        <f t="shared" si="5"/>
        <v>200000</v>
      </c>
    </row>
  </sheetData>
  <mergeCells count="2">
    <mergeCell ref="B1:D1"/>
    <mergeCell ref="H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 하</dc:creator>
  <cp:lastModifiedBy>정인 황</cp:lastModifiedBy>
  <dcterms:created xsi:type="dcterms:W3CDTF">2025-09-25T12:05:57Z</dcterms:created>
  <dcterms:modified xsi:type="dcterms:W3CDTF">2026-03-11T06:50:02Z</dcterms:modified>
</cp:coreProperties>
</file>